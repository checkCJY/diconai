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화면 점검 체크리스트" sheetId="1" state="visible" r:id="rId3"/>
    <sheet name="요약" sheetId="2" state="visible" r:id="rId4"/>
  </sheets>
  <definedNames>
    <definedName function="false" hidden="true" localSheetId="0" name="_xlnm._FilterDatabase" vbProcedure="false">'화면 점검 체크리스트'!$A$1:$I$64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<sst xmlns="http://schemas.openxmlformats.org/spreadsheetml/2006/main" count="403" uniqueCount="142">
  <si>
    <t xml:space="preserve">No</t>
  </si>
  <si>
    <t xml:space="preserve">구분</t>
  </si>
  <si>
    <t xml:space="preserve">페이지</t>
  </si>
  <si>
    <t xml:space="preserve">URL</t>
  </si>
  <si>
    <t xml:space="preserve">담당자</t>
  </si>
  <si>
    <r>
      <rPr>
        <b val="true"/>
        <sz val="11"/>
        <color rgb="FFFFFFFF"/>
        <rFont val="DejaVu Sans"/>
        <family val="2"/>
      </rPr>
      <t xml:space="preserve">문제점 </t>
    </r>
    <r>
      <rPr>
        <b val="true"/>
        <sz val="11"/>
        <color rgb="FFFFFFFF"/>
        <rFont val="맑은 고딕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할 일</t>
    </r>
  </si>
  <si>
    <t xml:space="preserve">우선순위</t>
  </si>
  <si>
    <t xml:space="preserve">완료여부</t>
  </si>
  <si>
    <t xml:space="preserve">비고</t>
  </si>
  <si>
    <t xml:space="preserve">대시보드</t>
  </si>
  <si>
    <t xml:space="preserve">메인 대시보드</t>
  </si>
  <si>
    <t xml:space="preserve">/dashboard/</t>
  </si>
  <si>
    <r>
      <rPr>
        <sz val="10"/>
        <rFont val="DejaVu Sans"/>
        <family val="2"/>
      </rPr>
      <t xml:space="preserve">이성현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초기</t>
    </r>
    <r>
      <rPr>
        <sz val="10"/>
        <rFont val="맑은 고딕"/>
        <family val="0"/>
        <charset val="1"/>
      </rPr>
      <t xml:space="preserve">)·</t>
    </r>
    <r>
      <rPr>
        <sz val="10"/>
        <rFont val="DejaVu Sans"/>
        <family val="2"/>
      </rPr>
      <t xml:space="preserve">각자</t>
    </r>
  </si>
  <si>
    <t xml:space="preserve">시연 시나리오 부분 삭제 또는 최신화</t>
  </si>
  <si>
    <t xml:space="preserve">필수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</si>
  <si>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예측 가스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전력 위험 도달 예상시간 하드코딩 수정</t>
    </r>
  </si>
  <si>
    <t xml:space="preserve">이벤트 현황에 공지사항 연동</t>
  </si>
  <si>
    <t xml:space="preserve">실시간 모니터링 작업자 연동 움직임 재확인</t>
  </si>
  <si>
    <t xml:space="preserve">개선</t>
  </si>
  <si>
    <t xml:space="preserve">나의 프로필</t>
  </si>
  <si>
    <t xml:space="preserve">/dashboard/profile/</t>
  </si>
  <si>
    <t xml:space="preserve">최재용</t>
  </si>
  <si>
    <r>
      <rPr>
        <sz val="10"/>
        <rFont val="DejaVu Sans"/>
        <family val="2"/>
      </rPr>
      <t xml:space="preserve">비밀번호 변경 가능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화면설계서대로 구성됨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완료</t>
    </r>
    <r>
      <rPr>
        <sz val="10"/>
        <rFont val="맑은 고딕"/>
        <family val="0"/>
        <charset val="1"/>
      </rPr>
      <t xml:space="preserve">)</t>
    </r>
  </si>
  <si>
    <t xml:space="preserve">완료</t>
  </si>
  <si>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개선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프로필 관련 기능 추가 검토</t>
    </r>
  </si>
  <si>
    <t xml:space="preserve">고도화</t>
  </si>
  <si>
    <t xml:space="preserve">직급별 공지사항 체크 등 부가기능 아이디어</t>
  </si>
  <si>
    <t xml:space="preserve">안전 확인 체크리스트</t>
  </si>
  <si>
    <t xml:space="preserve">/dashboard/safety/checklist/</t>
  </si>
  <si>
    <r>
      <rPr>
        <sz val="10"/>
        <rFont val="DejaVu Sans"/>
        <family val="2"/>
      </rPr>
      <t xml:space="preserve">연동 확인됨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체크리스트 내용 의미있게 수정</t>
    </r>
  </si>
  <si>
    <r>
      <rPr>
        <sz val="10"/>
        <rFont val="맑은 고딕"/>
        <family val="0"/>
        <charset val="1"/>
      </rPr>
      <t xml:space="preserve">VR </t>
    </r>
    <r>
      <rPr>
        <sz val="10"/>
        <rFont val="DejaVu Sans"/>
        <family val="2"/>
      </rPr>
      <t xml:space="preserve">교육</t>
    </r>
  </si>
  <si>
    <t xml:space="preserve">/dashboard/safety/vr</t>
  </si>
  <si>
    <r>
      <rPr>
        <sz val="10"/>
        <rFont val="DejaVu Sans"/>
        <family val="2"/>
      </rPr>
      <t xml:space="preserve">비디오 연동 안됨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운영환경 변경으로 미적용 추정</t>
    </r>
    <r>
      <rPr>
        <sz val="10"/>
        <rFont val="맑은 고딕"/>
        <family val="0"/>
        <charset val="1"/>
      </rPr>
      <t xml:space="preserve">)</t>
    </r>
  </si>
  <si>
    <t xml:space="preserve">안전 확인 이력</t>
  </si>
  <si>
    <t xml:space="preserve">/dashboard/safety/history/</t>
  </si>
  <si>
    <r>
      <rPr>
        <sz val="10"/>
        <rFont val="DejaVu Sans"/>
        <family val="2"/>
      </rPr>
      <t xml:space="preserve">출퇴근 </t>
    </r>
    <r>
      <rPr>
        <sz val="10"/>
        <rFont val="맑은 고딕"/>
        <family val="0"/>
        <charset val="1"/>
      </rPr>
      <t xml:space="preserve">model </t>
    </r>
    <r>
      <rPr>
        <sz val="10"/>
        <rFont val="DejaVu Sans"/>
        <family val="2"/>
      </rPr>
      <t xml:space="preserve">없어 임시방편 처리됨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정식 모델 검토</t>
    </r>
  </si>
  <si>
    <r>
      <rPr>
        <sz val="10"/>
        <rFont val="DejaVu Sans"/>
        <family val="2"/>
      </rPr>
      <t xml:space="preserve">출퇴근 기준 </t>
    </r>
    <r>
      <rPr>
        <sz val="10"/>
        <rFont val="맑은 고딕"/>
        <family val="0"/>
        <charset val="1"/>
      </rPr>
      <t xml:space="preserve">= </t>
    </r>
    <r>
      <rPr>
        <sz val="10"/>
        <rFont val="DejaVu Sans"/>
        <family val="2"/>
      </rPr>
      <t xml:space="preserve">안전확인 완료 시에만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현 상태 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</si>
  <si>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강조성 부족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다운로드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인쇄는 작동</t>
    </r>
    <r>
      <rPr>
        <sz val="10"/>
        <rFont val="맑은 고딕"/>
        <family val="0"/>
        <charset val="1"/>
      </rPr>
      <t xml:space="preserve">)</t>
    </r>
  </si>
  <si>
    <t xml:space="preserve">실시간 모니터링</t>
  </si>
  <si>
    <t xml:space="preserve">/dashboard/monitoring/realtime/</t>
  </si>
  <si>
    <t xml:space="preserve">이성현</t>
  </si>
  <si>
    <t xml:space="preserve">하드코딩 되어있는 페이지 수정</t>
  </si>
  <si>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측면 개선 필요</t>
    </r>
  </si>
  <si>
    <t xml:space="preserve">유해가스 현황</t>
  </si>
  <si>
    <t xml:space="preserve">/dashboard/monitoring/gas/</t>
  </si>
  <si>
    <t xml:space="preserve">정휘훈</t>
  </si>
  <si>
    <r>
      <rPr>
        <sz val="10"/>
        <rFont val="DejaVu Sans"/>
        <family val="2"/>
      </rPr>
      <t xml:space="preserve">센서 목록 기능 양호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전력쪽도 동일 적용 예정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</si>
  <si>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그래프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차 디자인 적용 완료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</si>
  <si>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예측 그래프 미구현</t>
    </r>
  </si>
  <si>
    <t xml:space="preserve">제목 폰트 크기 수정</t>
  </si>
  <si>
    <t xml:space="preserve">스마트 전력 현황</t>
  </si>
  <si>
    <t xml:space="preserve">/dashboard/monitoring/power/</t>
  </si>
  <si>
    <r>
      <rPr>
        <sz val="10"/>
        <rFont val="DejaVu Sans"/>
        <family val="2"/>
      </rPr>
      <t xml:space="preserve">가스쪽 센서 목록 기능 없음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추가 검토</t>
    </r>
  </si>
  <si>
    <r>
      <rPr>
        <sz val="10"/>
        <rFont val="DejaVu Sans"/>
        <family val="2"/>
      </rPr>
      <t xml:space="preserve">재가동 버튼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버튼만 구현됨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삭제 또는 미구현 표기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</si>
  <si>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예측 그래프 미적용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가스와 동일</t>
    </r>
    <r>
      <rPr>
        <sz val="10"/>
        <rFont val="맑은 고딕"/>
        <family val="0"/>
        <charset val="1"/>
      </rPr>
      <t xml:space="preserve">)</t>
    </r>
  </si>
  <si>
    <t xml:space="preserve">하단 실시간 예측 내용 정리 안됨</t>
  </si>
  <si>
    <t xml:space="preserve">작업자 현황</t>
  </si>
  <si>
    <t xml:space="preserve">/dashboard/monitoring/workers/</t>
  </si>
  <si>
    <r>
      <rPr>
        <sz val="10"/>
        <rFont val="맑은 고딕"/>
        <family val="0"/>
        <charset val="1"/>
      </rPr>
      <t xml:space="preserve">DB </t>
    </r>
    <r>
      <rPr>
        <sz val="10"/>
        <rFont val="DejaVu Sans"/>
        <family val="2"/>
      </rPr>
      <t xml:space="preserve">유저 리스트 목록 연동 완료</t>
    </r>
  </si>
  <si>
    <t xml:space="preserve">연락처 하이퍼링크 처리 안됨</t>
  </si>
  <si>
    <r>
      <rPr>
        <sz val="10"/>
        <rFont val="DejaVu Sans"/>
        <family val="2"/>
      </rPr>
      <t xml:space="preserve">작업자 위험현황↔위치 모니터링 연동 안됨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알림 전송 미구현</t>
    </r>
  </si>
  <si>
    <t xml:space="preserve">이벤트 현황</t>
  </si>
  <si>
    <t xml:space="preserve">/dashboard/monitoring/events/</t>
  </si>
  <si>
    <t xml:space="preserve">제목 폰트 크기 수정 필요</t>
  </si>
  <si>
    <r>
      <rPr>
        <sz val="10"/>
        <rFont val="DejaVu Sans"/>
        <family val="2"/>
      </rPr>
      <t xml:space="preserve">페이지네이션 미적용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조치완료 부분</t>
    </r>
    <r>
      <rPr>
        <sz val="10"/>
        <rFont val="맑은 고딕"/>
        <family val="0"/>
        <charset val="1"/>
      </rPr>
      <t xml:space="preserve">)</t>
    </r>
  </si>
  <si>
    <t xml:space="preserve">이벤트 현황 상세</t>
  </si>
  <si>
    <t xml:space="preserve">/dashboard/monitoring/events/id/</t>
  </si>
  <si>
    <r>
      <rPr>
        <sz val="10"/>
        <rFont val="DejaVu Sans"/>
        <family val="2"/>
      </rPr>
      <t xml:space="preserve">정휘훈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최재용</t>
    </r>
  </si>
  <si>
    <t xml:space="preserve">연관 작업자 설정 안되어 연동 안됨</t>
  </si>
  <si>
    <r>
      <rPr>
        <sz val="10"/>
        <rFont val="DejaVu Sans"/>
        <family val="2"/>
      </rPr>
      <t xml:space="preserve">공지사항이 이벤트 상세에 잘못 적용됨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확인</t>
    </r>
  </si>
  <si>
    <t xml:space="preserve">공통</t>
  </si>
  <si>
    <r>
      <rPr>
        <sz val="10"/>
        <rFont val="DejaVu Sans"/>
        <family val="2"/>
      </rPr>
      <t xml:space="preserve">공통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권한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모달</t>
    </r>
  </si>
  <si>
    <t xml:space="preserve">전체</t>
  </si>
  <si>
    <t xml:space="preserve">접근 권한 없는 계정 페이지 전부 적용되는지 확인</t>
  </si>
  <si>
    <r>
      <rPr>
        <sz val="10"/>
        <rFont val="DejaVu Sans"/>
        <family val="2"/>
      </rPr>
      <t xml:space="preserve">모달 외각 클릭 시 작성중 내용 사라지는 페이지 존재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수정</t>
    </r>
  </si>
  <si>
    <t xml:space="preserve">관리자</t>
  </si>
  <si>
    <t xml:space="preserve">사용자 관리</t>
  </si>
  <si>
    <t xml:space="preserve">/admin-panel/accounts-management/</t>
  </si>
  <si>
    <r>
      <rPr>
        <sz val="10"/>
        <rFont val="DejaVu Sans"/>
        <family val="2"/>
      </rPr>
      <t xml:space="preserve">등록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수정 시 주석문 보이는 내용 수정</t>
    </r>
  </si>
  <si>
    <t xml:space="preserve">비밀번호 초기화 모달 디자인 수정</t>
  </si>
  <si>
    <t xml:space="preserve">완료버튼 클릭 시 확인 모달 없음</t>
  </si>
  <si>
    <t xml:space="preserve">조직 관리</t>
  </si>
  <si>
    <t xml:space="preserve">/admin-panel/organizations/</t>
  </si>
  <si>
    <r>
      <rPr>
        <sz val="10"/>
        <rFont val="DejaVu Sans"/>
        <family val="2"/>
      </rPr>
      <t xml:space="preserve">겸직 개념 엉성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신청 없이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개 이상 겸직되는 구조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향후 리스크</t>
    </r>
    <r>
      <rPr>
        <sz val="10"/>
        <rFont val="맑은 고딕"/>
        <family val="0"/>
        <charset val="1"/>
      </rPr>
      <t xml:space="preserve">)</t>
    </r>
  </si>
  <si>
    <t xml:space="preserve">조직별 권한 설계 미흡</t>
  </si>
  <si>
    <t xml:space="preserve">스마트 전력 시스템 관리</t>
  </si>
  <si>
    <t xml:space="preserve">/admin-panel/facility/</t>
  </si>
  <si>
    <r>
      <rPr>
        <sz val="10"/>
        <rFont val="맑은 고딕"/>
        <family val="0"/>
        <charset val="1"/>
      </rPr>
      <t xml:space="preserve">[</t>
    </r>
    <r>
      <rPr>
        <sz val="10"/>
        <rFont val="DejaVu Sans"/>
        <family val="2"/>
      </rPr>
      <t xml:space="preserve">미정</t>
    </r>
    <r>
      <rPr>
        <sz val="10"/>
        <rFont val="맑은 고딕"/>
        <family val="0"/>
        <charset val="1"/>
      </rPr>
      <t xml:space="preserve">]</t>
    </r>
  </si>
  <si>
    <t xml:space="preserve">장비등록 옆 삭제 버튼 수정</t>
  </si>
  <si>
    <r>
      <rPr>
        <sz val="10"/>
        <rFont val="DejaVu Sans"/>
        <family val="2"/>
      </rPr>
      <t xml:space="preserve">수정 확인 모달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타 페이지도 적용되도록</t>
    </r>
  </si>
  <si>
    <r>
      <rPr>
        <sz val="10"/>
        <rFont val="DejaVu Sans"/>
        <family val="2"/>
      </rPr>
      <t xml:space="preserve">정렬 기준이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사용 상태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가 되어야 함</t>
    </r>
  </si>
  <si>
    <t xml:space="preserve">장비 코드 수정 불가 사유 확인</t>
  </si>
  <si>
    <t xml:space="preserve">유해가스 센서 관리</t>
  </si>
  <si>
    <t xml:space="preserve">/admin-panel/gas-sensors/</t>
  </si>
  <si>
    <t xml:space="preserve">스마트 전력 시스템 관리와 동일 내용 대부분</t>
  </si>
  <si>
    <t xml:space="preserve">위험구역 관리</t>
  </si>
  <si>
    <t xml:space="preserve">/admin-panel/geofence/</t>
  </si>
  <si>
    <r>
      <rPr>
        <sz val="10"/>
        <rFont val="DejaVu Sans"/>
        <family val="2"/>
      </rPr>
      <t xml:space="preserve">위험구역 수정 모달 수정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폴리곤 좌표 소수점 체크</t>
    </r>
    <r>
      <rPr>
        <sz val="10"/>
        <rFont val="맑은 고딕"/>
        <family val="0"/>
        <charset val="1"/>
      </rPr>
      <t xml:space="preserve">)</t>
    </r>
  </si>
  <si>
    <t xml:space="preserve">삭제 모달 수정</t>
  </si>
  <si>
    <t xml:space="preserve">지도 편집 관리</t>
  </si>
  <si>
    <t xml:space="preserve">/admin-panel/map-editor/</t>
  </si>
  <si>
    <r>
      <rPr>
        <sz val="10"/>
        <rFont val="DejaVu Sans"/>
        <family val="2"/>
      </rPr>
      <t xml:space="preserve">전체 되돌리기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저장 버튼 모달 수정</t>
    </r>
  </si>
  <si>
    <t xml:space="preserve">유해가스 센서 데이터 관리</t>
  </si>
  <si>
    <t xml:space="preserve">/admin-panel/data/gas/</t>
  </si>
  <si>
    <t xml:space="preserve">총 데이터 표 형식 줄맞춤 수정</t>
  </si>
  <si>
    <t xml:space="preserve">전력 시스템 데이터 관리</t>
  </si>
  <si>
    <t xml:space="preserve">/admin-panel/data/power/</t>
  </si>
  <si>
    <r>
      <rPr>
        <sz val="10"/>
        <rFont val="DejaVu Sans"/>
        <family val="2"/>
      </rPr>
      <t xml:space="preserve">로그 내보내기만 있음</t>
    </r>
    <r>
      <rPr>
        <sz val="10"/>
        <rFont val="맑은 고딕"/>
        <family val="0"/>
        <charset val="1"/>
      </rPr>
      <t xml:space="preserve">. AI </t>
    </r>
    <r>
      <rPr>
        <sz val="10"/>
        <rFont val="DejaVu Sans"/>
        <family val="2"/>
      </rPr>
      <t xml:space="preserve">학습용 데이터 업로드 기능 검토</t>
    </r>
  </si>
  <si>
    <t xml:space="preserve">데이터 보관 정책 관리</t>
  </si>
  <si>
    <t xml:space="preserve">/admin-panel/data/retention-policy/</t>
  </si>
  <si>
    <t xml:space="preserve">수정 시 모달창 수정 필요</t>
  </si>
  <si>
    <t xml:space="preserve">정책 제대로 적용되는지 확인</t>
  </si>
  <si>
    <t xml:space="preserve">삭제 주기대로 삭제되는지 확인</t>
  </si>
  <si>
    <r>
      <rPr>
        <sz val="10"/>
        <rFont val="DejaVu Sans"/>
        <family val="2"/>
      </rPr>
      <t xml:space="preserve">로그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종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시스템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활동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연동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지도편집</t>
    </r>
    <r>
      <rPr>
        <sz val="10"/>
        <rFont val="맑은 고딕"/>
        <family val="0"/>
        <charset val="1"/>
      </rPr>
      <t xml:space="preserve">)</t>
    </r>
  </si>
  <si>
    <t xml:space="preserve">/admin-panel/logs/</t>
  </si>
  <si>
    <r>
      <rPr>
        <sz val="10"/>
        <rFont val="DejaVu Sans"/>
        <family val="2"/>
      </rPr>
      <t xml:space="preserve">초기화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검색 버튼 위치 어색함</t>
    </r>
  </si>
  <si>
    <r>
      <rPr>
        <sz val="10"/>
        <rFont val="DejaVu Sans"/>
        <family val="2"/>
      </rPr>
      <t xml:space="preserve">시스템 로그 오류 </t>
    </r>
    <r>
      <rPr>
        <sz val="10"/>
        <rFont val="맑은 고딕"/>
        <family val="0"/>
        <charset val="1"/>
      </rPr>
      <t xml:space="preserve">989</t>
    </r>
    <r>
      <rPr>
        <sz val="10"/>
        <rFont val="DejaVu Sans"/>
        <family val="2"/>
      </rPr>
      <t xml:space="preserve">건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오류별 분류저장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활용 검토</t>
    </r>
  </si>
  <si>
    <t xml:space="preserve">공지사항 관리</t>
  </si>
  <si>
    <t xml:space="preserve">/admin-panel/notices/</t>
  </si>
  <si>
    <r>
      <rPr>
        <sz val="10"/>
        <rFont val="DejaVu Sans"/>
        <family val="2"/>
      </rPr>
      <t xml:space="preserve">이벤트 상세 연동되나 관리자 계정만 보임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작업자 안보임</t>
    </r>
    <r>
      <rPr>
        <sz val="10"/>
        <rFont val="맑은 고딕"/>
        <family val="0"/>
        <charset val="1"/>
      </rPr>
      <t xml:space="preserve">)</t>
    </r>
  </si>
  <si>
    <t xml:space="preserve">공지사항 연동 페이지 재확인</t>
  </si>
  <si>
    <r>
      <rPr>
        <sz val="10"/>
        <rFont val="DejaVu Sans"/>
        <family val="2"/>
      </rPr>
      <t xml:space="preserve">별도 페이지 아닌 관리자페이지로 리다이렉션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기능 미흡</t>
    </r>
  </si>
  <si>
    <t xml:space="preserve">알림 정책 관리</t>
  </si>
  <si>
    <t xml:space="preserve">/admin-panel/alerts/policies/</t>
  </si>
  <si>
    <t xml:space="preserve">저장 버튼 클릭 시 확인 모달 안나옴</t>
  </si>
  <si>
    <t xml:space="preserve">사용자 활동 로그에 저장 안되는 것으로 판단</t>
  </si>
  <si>
    <t xml:space="preserve">알림 정책이 아닌 이벤트 상세 정책 내용과 연동된 것으로 보임</t>
  </si>
  <si>
    <t xml:space="preserve">이벤트 이력 조회</t>
  </si>
  <si>
    <t xml:space="preserve">/admin-panel/events/history/</t>
  </si>
  <si>
    <r>
      <rPr>
        <sz val="10"/>
        <rFont val="DejaVu Sans"/>
        <family val="2"/>
      </rPr>
      <t xml:space="preserve">발생 내용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상태 메모 부분 수정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적용 안됨</t>
    </r>
  </si>
  <si>
    <t xml:space="preserve">페이지네이션 미적용</t>
  </si>
  <si>
    <t xml:space="preserve">공통코드 관리</t>
  </si>
  <si>
    <t xml:space="preserve">/admin-panel/common-codes/</t>
  </si>
  <si>
    <r>
      <rPr>
        <sz val="10"/>
        <rFont val="맑은 고딕"/>
        <family val="0"/>
        <charset val="1"/>
      </rPr>
      <t xml:space="preserve">GAS_TYPE</t>
    </r>
    <r>
      <rPr>
        <sz val="10"/>
        <rFont val="DejaVu Sans"/>
        <family val="2"/>
      </rPr>
      <t xml:space="preserve">만 있음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다른 공통상수 적용 필요</t>
    </r>
  </si>
  <si>
    <t xml:space="preserve">코드 그룹 등록 실제 적용 방식 확인</t>
  </si>
  <si>
    <t xml:space="preserve">정렬 순서 기능 용도 확인</t>
  </si>
  <si>
    <t xml:space="preserve">임계치 기준 관리</t>
  </si>
  <si>
    <t xml:space="preserve">/admin-panel/thresholds/</t>
  </si>
  <si>
    <r>
      <rPr>
        <sz val="10"/>
        <rFont val="DejaVu Sans"/>
        <family val="2"/>
      </rPr>
      <t xml:space="preserve">내용 점검 필요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메모 미작성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</si>
  <si>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3"/>
        <rFont val="DejaVu Sans"/>
        <family val="2"/>
      </rPr>
      <t xml:space="preserve">담당자별 </t>
    </r>
    <r>
      <rPr>
        <b val="true"/>
        <sz val="13"/>
        <rFont val="맑은 고딕"/>
        <family val="0"/>
        <charset val="1"/>
      </rPr>
      <t xml:space="preserve">/ </t>
    </r>
    <r>
      <rPr>
        <b val="true"/>
        <sz val="13"/>
        <rFont val="DejaVu Sans"/>
        <family val="2"/>
      </rPr>
      <t xml:space="preserve">우선순위별 집계</t>
    </r>
  </si>
  <si>
    <t xml:space="preserve">합계</t>
  </si>
  <si>
    <t xml:space="preserve">총계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</si>
</sst>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DejaVu Sans"/>
      <family val="2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0"/>
      <name val="DejaVu Sans"/>
      <family val="2"/>
    </font>
    <font>
      <b val="true"/>
      <sz val="13"/>
      <name val="DejaVu Sans"/>
      <family val="2"/>
    </font>
    <font>
      <b val="true"/>
      <sz val="13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B"/>
        <bgColor rgb="FFF0F0F0"/>
      </patternFill>
    </fill>
    <fill>
      <patternFill patternType="solid">
        <fgColor rgb="FFF4CCCC"/>
        <bgColor rgb="FFD9E1F2"/>
      </patternFill>
    </fill>
    <fill>
      <patternFill patternType="solid">
        <fgColor rgb="FFFFF2CC"/>
        <bgColor rgb="FFFBF3E7"/>
      </patternFill>
    </fill>
    <fill>
      <patternFill patternType="solid">
        <fgColor rgb="FFD9EAD3"/>
        <bgColor rgb="FFD9E1F2"/>
      </patternFill>
    </fill>
    <fill>
      <patternFill patternType="solid">
        <fgColor rgb="FFD9E1F2"/>
        <bgColor rgb="FFD9EAD3"/>
      </patternFill>
    </fill>
    <fill>
      <patternFill patternType="solid">
        <fgColor rgb="FFF0F0F0"/>
        <bgColor rgb="FFEAF1FB"/>
      </patternFill>
    </fill>
    <fill>
      <patternFill patternType="solid">
        <fgColor rgb="FFFBF3E7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FBF3E7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9EAD3"/>
      <rgbColor rgb="FFFBF3E7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8" min="7" style="0" width="9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n">
        <v>1</v>
      </c>
      <c r="B2" s="4" t="s">
        <v>9</v>
      </c>
      <c r="C2" s="5" t="s">
        <v>10</v>
      </c>
      <c r="D2" s="3" t="s">
        <v>11</v>
      </c>
      <c r="E2" s="5" t="s">
        <v>12</v>
      </c>
      <c r="F2" s="6" t="s">
        <v>13</v>
      </c>
      <c r="G2" s="7" t="s">
        <v>14</v>
      </c>
      <c r="H2" s="3"/>
      <c r="I2" s="3"/>
    </row>
    <row r="3" customFormat="false" ht="15" hidden="false" customHeight="false" outlineLevel="0" collapsed="false">
      <c r="A3" s="3" t="n">
        <v>2</v>
      </c>
      <c r="B3" s="4" t="s">
        <v>9</v>
      </c>
      <c r="C3" s="5" t="s">
        <v>10</v>
      </c>
      <c r="D3" s="3" t="s">
        <v>11</v>
      </c>
      <c r="E3" s="5" t="s">
        <v>12</v>
      </c>
      <c r="F3" s="8" t="s">
        <v>15</v>
      </c>
      <c r="G3" s="7" t="s">
        <v>14</v>
      </c>
      <c r="H3" s="3"/>
      <c r="I3" s="3"/>
    </row>
    <row r="4" customFormat="false" ht="15" hidden="false" customHeight="false" outlineLevel="0" collapsed="false">
      <c r="A4" s="3" t="n">
        <v>3</v>
      </c>
      <c r="B4" s="4" t="s">
        <v>9</v>
      </c>
      <c r="C4" s="5" t="s">
        <v>10</v>
      </c>
      <c r="D4" s="3" t="s">
        <v>11</v>
      </c>
      <c r="E4" s="5" t="s">
        <v>12</v>
      </c>
      <c r="F4" s="6" t="s">
        <v>16</v>
      </c>
      <c r="G4" s="7" t="s">
        <v>14</v>
      </c>
      <c r="H4" s="3"/>
      <c r="I4" s="3"/>
    </row>
    <row r="5" customFormat="false" ht="15" hidden="false" customHeight="false" outlineLevel="0" collapsed="false">
      <c r="A5" s="3" t="n">
        <v>4</v>
      </c>
      <c r="B5" s="4" t="s">
        <v>9</v>
      </c>
      <c r="C5" s="5" t="s">
        <v>10</v>
      </c>
      <c r="D5" s="3" t="s">
        <v>11</v>
      </c>
      <c r="E5" s="5" t="s">
        <v>12</v>
      </c>
      <c r="F5" s="6" t="s">
        <v>17</v>
      </c>
      <c r="G5" s="9" t="s">
        <v>18</v>
      </c>
      <c r="H5" s="3"/>
      <c r="I5" s="3"/>
    </row>
    <row r="6" customFormat="false" ht="15" hidden="false" customHeight="false" outlineLevel="0" collapsed="false">
      <c r="A6" s="3" t="n">
        <v>5</v>
      </c>
      <c r="B6" s="4" t="s">
        <v>9</v>
      </c>
      <c r="C6" s="5" t="s">
        <v>19</v>
      </c>
      <c r="D6" s="3" t="s">
        <v>20</v>
      </c>
      <c r="E6" s="5" t="s">
        <v>21</v>
      </c>
      <c r="F6" s="6" t="s">
        <v>22</v>
      </c>
      <c r="G6" s="10" t="s">
        <v>23</v>
      </c>
      <c r="H6" s="11" t="s">
        <v>23</v>
      </c>
      <c r="I6" s="3"/>
    </row>
    <row r="7" customFormat="false" ht="15" hidden="false" customHeight="false" outlineLevel="0" collapsed="false">
      <c r="A7" s="3" t="n">
        <v>6</v>
      </c>
      <c r="B7" s="4" t="s">
        <v>9</v>
      </c>
      <c r="C7" s="5" t="s">
        <v>19</v>
      </c>
      <c r="D7" s="3" t="s">
        <v>20</v>
      </c>
      <c r="E7" s="5" t="s">
        <v>21</v>
      </c>
      <c r="F7" s="8" t="s">
        <v>24</v>
      </c>
      <c r="G7" s="12" t="s">
        <v>25</v>
      </c>
      <c r="H7" s="3"/>
      <c r="I7" s="3"/>
    </row>
    <row r="8" customFormat="false" ht="15" hidden="false" customHeight="false" outlineLevel="0" collapsed="false">
      <c r="A8" s="3" t="n">
        <v>7</v>
      </c>
      <c r="B8" s="4" t="s">
        <v>9</v>
      </c>
      <c r="C8" s="5" t="s">
        <v>19</v>
      </c>
      <c r="D8" s="3" t="s">
        <v>20</v>
      </c>
      <c r="E8" s="5" t="s">
        <v>21</v>
      </c>
      <c r="F8" s="6" t="s">
        <v>26</v>
      </c>
      <c r="G8" s="12" t="s">
        <v>25</v>
      </c>
      <c r="H8" s="3"/>
      <c r="I8" s="3"/>
    </row>
    <row r="9" customFormat="false" ht="15" hidden="false" customHeight="false" outlineLevel="0" collapsed="false">
      <c r="A9" s="3" t="n">
        <v>8</v>
      </c>
      <c r="B9" s="4" t="s">
        <v>9</v>
      </c>
      <c r="C9" s="5" t="s">
        <v>27</v>
      </c>
      <c r="D9" s="3" t="s">
        <v>28</v>
      </c>
      <c r="E9" s="5" t="s">
        <v>21</v>
      </c>
      <c r="F9" s="6" t="s">
        <v>29</v>
      </c>
      <c r="G9" s="9" t="s">
        <v>18</v>
      </c>
      <c r="H9" s="3"/>
      <c r="I9" s="3"/>
    </row>
    <row r="10" customFormat="false" ht="15" hidden="false" customHeight="false" outlineLevel="0" collapsed="false">
      <c r="A10" s="3" t="n">
        <v>9</v>
      </c>
      <c r="B10" s="4" t="s">
        <v>9</v>
      </c>
      <c r="C10" s="3" t="s">
        <v>30</v>
      </c>
      <c r="D10" s="3" t="s">
        <v>31</v>
      </c>
      <c r="E10" s="5" t="s">
        <v>21</v>
      </c>
      <c r="F10" s="6" t="s">
        <v>32</v>
      </c>
      <c r="G10" s="7" t="s">
        <v>14</v>
      </c>
      <c r="H10" s="3"/>
      <c r="I10" s="3"/>
    </row>
    <row r="11" customFormat="false" ht="15" hidden="false" customHeight="false" outlineLevel="0" collapsed="false">
      <c r="A11" s="3" t="n">
        <v>10</v>
      </c>
      <c r="B11" s="4" t="s">
        <v>9</v>
      </c>
      <c r="C11" s="5" t="s">
        <v>33</v>
      </c>
      <c r="D11" s="3" t="s">
        <v>34</v>
      </c>
      <c r="E11" s="5" t="s">
        <v>21</v>
      </c>
      <c r="F11" s="6" t="s">
        <v>35</v>
      </c>
      <c r="G11" s="9" t="s">
        <v>18</v>
      </c>
      <c r="H11" s="3"/>
      <c r="I11" s="3"/>
    </row>
    <row r="12" customFormat="false" ht="15" hidden="false" customHeight="false" outlineLevel="0" collapsed="false">
      <c r="A12" s="3" t="n">
        <v>11</v>
      </c>
      <c r="B12" s="4" t="s">
        <v>9</v>
      </c>
      <c r="C12" s="5" t="s">
        <v>33</v>
      </c>
      <c r="D12" s="3" t="s">
        <v>34</v>
      </c>
      <c r="E12" s="5" t="s">
        <v>21</v>
      </c>
      <c r="F12" s="6" t="s">
        <v>36</v>
      </c>
      <c r="G12" s="9" t="s">
        <v>18</v>
      </c>
      <c r="H12" s="3"/>
      <c r="I12" s="3"/>
    </row>
    <row r="13" customFormat="false" ht="15" hidden="false" customHeight="false" outlineLevel="0" collapsed="false">
      <c r="A13" s="3" t="n">
        <v>12</v>
      </c>
      <c r="B13" s="4" t="s">
        <v>9</v>
      </c>
      <c r="C13" s="5" t="s">
        <v>33</v>
      </c>
      <c r="D13" s="3" t="s">
        <v>34</v>
      </c>
      <c r="E13" s="5" t="s">
        <v>21</v>
      </c>
      <c r="F13" s="8" t="s">
        <v>37</v>
      </c>
      <c r="G13" s="9" t="s">
        <v>18</v>
      </c>
      <c r="H13" s="3"/>
      <c r="I13" s="3"/>
    </row>
    <row r="14" customFormat="false" ht="15" hidden="false" customHeight="false" outlineLevel="0" collapsed="false">
      <c r="A14" s="3" t="n">
        <v>13</v>
      </c>
      <c r="B14" s="4" t="s">
        <v>9</v>
      </c>
      <c r="C14" s="5" t="s">
        <v>38</v>
      </c>
      <c r="D14" s="3" t="s">
        <v>39</v>
      </c>
      <c r="E14" s="5" t="s">
        <v>40</v>
      </c>
      <c r="F14" s="6" t="s">
        <v>41</v>
      </c>
      <c r="G14" s="7" t="s">
        <v>14</v>
      </c>
      <c r="H14" s="3"/>
      <c r="I14" s="3"/>
    </row>
    <row r="15" customFormat="false" ht="15" hidden="false" customHeight="false" outlineLevel="0" collapsed="false">
      <c r="A15" s="3" t="n">
        <v>14</v>
      </c>
      <c r="B15" s="4" t="s">
        <v>9</v>
      </c>
      <c r="C15" s="5" t="s">
        <v>38</v>
      </c>
      <c r="D15" s="3" t="s">
        <v>39</v>
      </c>
      <c r="E15" s="5" t="s">
        <v>40</v>
      </c>
      <c r="F15" s="8" t="s">
        <v>42</v>
      </c>
      <c r="G15" s="9" t="s">
        <v>18</v>
      </c>
      <c r="H15" s="3"/>
      <c r="I15" s="3"/>
    </row>
    <row r="16" customFormat="false" ht="15" hidden="false" customHeight="false" outlineLevel="0" collapsed="false">
      <c r="A16" s="3" t="n">
        <v>15</v>
      </c>
      <c r="B16" s="4" t="s">
        <v>9</v>
      </c>
      <c r="C16" s="5" t="s">
        <v>43</v>
      </c>
      <c r="D16" s="3" t="s">
        <v>44</v>
      </c>
      <c r="E16" s="5" t="s">
        <v>45</v>
      </c>
      <c r="F16" s="6" t="s">
        <v>46</v>
      </c>
      <c r="G16" s="10" t="s">
        <v>23</v>
      </c>
      <c r="H16" s="11" t="s">
        <v>23</v>
      </c>
      <c r="I16" s="3"/>
    </row>
    <row r="17" customFormat="false" ht="15" hidden="false" customHeight="false" outlineLevel="0" collapsed="false">
      <c r="A17" s="3" t="n">
        <v>16</v>
      </c>
      <c r="B17" s="4" t="s">
        <v>9</v>
      </c>
      <c r="C17" s="5" t="s">
        <v>43</v>
      </c>
      <c r="D17" s="3" t="s">
        <v>44</v>
      </c>
      <c r="E17" s="5" t="s">
        <v>45</v>
      </c>
      <c r="F17" s="6" t="s">
        <v>47</v>
      </c>
      <c r="G17" s="10" t="s">
        <v>23</v>
      </c>
      <c r="H17" s="11" t="s">
        <v>23</v>
      </c>
      <c r="I17" s="3"/>
    </row>
    <row r="18" customFormat="false" ht="15" hidden="false" customHeight="false" outlineLevel="0" collapsed="false">
      <c r="A18" s="3" t="n">
        <v>17</v>
      </c>
      <c r="B18" s="4" t="s">
        <v>9</v>
      </c>
      <c r="C18" s="5" t="s">
        <v>43</v>
      </c>
      <c r="D18" s="3" t="s">
        <v>44</v>
      </c>
      <c r="E18" s="5" t="s">
        <v>45</v>
      </c>
      <c r="F18" s="8" t="s">
        <v>48</v>
      </c>
      <c r="G18" s="7" t="s">
        <v>14</v>
      </c>
      <c r="H18" s="3"/>
      <c r="I18" s="3"/>
    </row>
    <row r="19" customFormat="false" ht="15" hidden="false" customHeight="false" outlineLevel="0" collapsed="false">
      <c r="A19" s="3" t="n">
        <v>18</v>
      </c>
      <c r="B19" s="4" t="s">
        <v>9</v>
      </c>
      <c r="C19" s="5" t="s">
        <v>43</v>
      </c>
      <c r="D19" s="3" t="s">
        <v>44</v>
      </c>
      <c r="E19" s="5" t="s">
        <v>45</v>
      </c>
      <c r="F19" s="6" t="s">
        <v>49</v>
      </c>
      <c r="G19" s="9" t="s">
        <v>18</v>
      </c>
      <c r="H19" s="3"/>
      <c r="I19" s="3"/>
    </row>
    <row r="20" customFormat="false" ht="15" hidden="false" customHeight="false" outlineLevel="0" collapsed="false">
      <c r="A20" s="3" t="n">
        <v>19</v>
      </c>
      <c r="B20" s="4" t="s">
        <v>9</v>
      </c>
      <c r="C20" s="5" t="s">
        <v>50</v>
      </c>
      <c r="D20" s="3" t="s">
        <v>51</v>
      </c>
      <c r="E20" s="5" t="s">
        <v>21</v>
      </c>
      <c r="F20" s="6" t="s">
        <v>52</v>
      </c>
      <c r="G20" s="9" t="s">
        <v>18</v>
      </c>
      <c r="H20" s="3"/>
      <c r="I20" s="3"/>
    </row>
    <row r="21" customFormat="false" ht="15" hidden="false" customHeight="false" outlineLevel="0" collapsed="false">
      <c r="A21" s="3" t="n">
        <v>20</v>
      </c>
      <c r="B21" s="4" t="s">
        <v>9</v>
      </c>
      <c r="C21" s="5" t="s">
        <v>50</v>
      </c>
      <c r="D21" s="3" t="s">
        <v>51</v>
      </c>
      <c r="E21" s="5" t="s">
        <v>21</v>
      </c>
      <c r="F21" s="6" t="s">
        <v>53</v>
      </c>
      <c r="G21" s="7" t="s">
        <v>14</v>
      </c>
      <c r="H21" s="3"/>
      <c r="I21" s="3"/>
    </row>
    <row r="22" customFormat="false" ht="15" hidden="false" customHeight="false" outlineLevel="0" collapsed="false">
      <c r="A22" s="3" t="n">
        <v>21</v>
      </c>
      <c r="B22" s="4" t="s">
        <v>9</v>
      </c>
      <c r="C22" s="5" t="s">
        <v>50</v>
      </c>
      <c r="D22" s="3" t="s">
        <v>51</v>
      </c>
      <c r="E22" s="5" t="s">
        <v>21</v>
      </c>
      <c r="F22" s="8" t="s">
        <v>54</v>
      </c>
      <c r="G22" s="7" t="s">
        <v>14</v>
      </c>
      <c r="H22" s="3"/>
      <c r="I22" s="3"/>
    </row>
    <row r="23" customFormat="false" ht="15" hidden="false" customHeight="false" outlineLevel="0" collapsed="false">
      <c r="A23" s="3" t="n">
        <v>22</v>
      </c>
      <c r="B23" s="4" t="s">
        <v>9</v>
      </c>
      <c r="C23" s="5" t="s">
        <v>50</v>
      </c>
      <c r="D23" s="3" t="s">
        <v>51</v>
      </c>
      <c r="E23" s="5" t="s">
        <v>21</v>
      </c>
      <c r="F23" s="6" t="s">
        <v>55</v>
      </c>
      <c r="G23" s="9" t="s">
        <v>18</v>
      </c>
      <c r="H23" s="3"/>
      <c r="I23" s="3"/>
    </row>
    <row r="24" customFormat="false" ht="15" hidden="false" customHeight="false" outlineLevel="0" collapsed="false">
      <c r="A24" s="3" t="n">
        <v>23</v>
      </c>
      <c r="B24" s="4" t="s">
        <v>9</v>
      </c>
      <c r="C24" s="5" t="s">
        <v>56</v>
      </c>
      <c r="D24" s="3" t="s">
        <v>57</v>
      </c>
      <c r="E24" s="5" t="s">
        <v>21</v>
      </c>
      <c r="F24" s="8" t="s">
        <v>58</v>
      </c>
      <c r="G24" s="10" t="s">
        <v>23</v>
      </c>
      <c r="H24" s="11" t="s">
        <v>23</v>
      </c>
      <c r="I24" s="3"/>
    </row>
    <row r="25" customFormat="false" ht="15" hidden="false" customHeight="false" outlineLevel="0" collapsed="false">
      <c r="A25" s="3" t="n">
        <v>24</v>
      </c>
      <c r="B25" s="4" t="s">
        <v>9</v>
      </c>
      <c r="C25" s="5" t="s">
        <v>56</v>
      </c>
      <c r="D25" s="3" t="s">
        <v>57</v>
      </c>
      <c r="E25" s="5" t="s">
        <v>21</v>
      </c>
      <c r="F25" s="6" t="s">
        <v>59</v>
      </c>
      <c r="G25" s="9" t="s">
        <v>18</v>
      </c>
      <c r="H25" s="3"/>
      <c r="I25" s="3"/>
    </row>
    <row r="26" customFormat="false" ht="15" hidden="false" customHeight="false" outlineLevel="0" collapsed="false">
      <c r="A26" s="3" t="n">
        <v>25</v>
      </c>
      <c r="B26" s="4" t="s">
        <v>9</v>
      </c>
      <c r="C26" s="5" t="s">
        <v>56</v>
      </c>
      <c r="D26" s="3" t="s">
        <v>57</v>
      </c>
      <c r="E26" s="5" t="s">
        <v>21</v>
      </c>
      <c r="F26" s="6" t="s">
        <v>60</v>
      </c>
      <c r="G26" s="7" t="s">
        <v>14</v>
      </c>
      <c r="H26" s="3"/>
      <c r="I26" s="3"/>
    </row>
    <row r="27" customFormat="false" ht="15" hidden="false" customHeight="false" outlineLevel="0" collapsed="false">
      <c r="A27" s="3" t="n">
        <v>26</v>
      </c>
      <c r="B27" s="4" t="s">
        <v>9</v>
      </c>
      <c r="C27" s="5" t="s">
        <v>61</v>
      </c>
      <c r="D27" s="3" t="s">
        <v>62</v>
      </c>
      <c r="E27" s="5" t="s">
        <v>45</v>
      </c>
      <c r="F27" s="6" t="s">
        <v>63</v>
      </c>
      <c r="G27" s="9" t="s">
        <v>18</v>
      </c>
      <c r="H27" s="3"/>
      <c r="I27" s="3"/>
    </row>
    <row r="28" customFormat="false" ht="15" hidden="false" customHeight="false" outlineLevel="0" collapsed="false">
      <c r="A28" s="3" t="n">
        <v>27</v>
      </c>
      <c r="B28" s="4" t="s">
        <v>9</v>
      </c>
      <c r="C28" s="5" t="s">
        <v>61</v>
      </c>
      <c r="D28" s="3" t="s">
        <v>62</v>
      </c>
      <c r="E28" s="5" t="s">
        <v>45</v>
      </c>
      <c r="F28" s="6" t="s">
        <v>64</v>
      </c>
      <c r="G28" s="7" t="s">
        <v>14</v>
      </c>
      <c r="H28" s="3"/>
      <c r="I28" s="3"/>
    </row>
    <row r="29" customFormat="false" ht="15" hidden="false" customHeight="false" outlineLevel="0" collapsed="false">
      <c r="A29" s="3" t="n">
        <v>28</v>
      </c>
      <c r="B29" s="4" t="s">
        <v>9</v>
      </c>
      <c r="C29" s="5" t="s">
        <v>65</v>
      </c>
      <c r="D29" s="3" t="s">
        <v>66</v>
      </c>
      <c r="E29" s="5" t="s">
        <v>67</v>
      </c>
      <c r="F29" s="6" t="s">
        <v>68</v>
      </c>
      <c r="G29" s="7" t="s">
        <v>14</v>
      </c>
      <c r="H29" s="3"/>
      <c r="I29" s="3"/>
    </row>
    <row r="30" customFormat="false" ht="15" hidden="false" customHeight="false" outlineLevel="0" collapsed="false">
      <c r="A30" s="3" t="n">
        <v>29</v>
      </c>
      <c r="B30" s="4" t="s">
        <v>9</v>
      </c>
      <c r="C30" s="5" t="s">
        <v>65</v>
      </c>
      <c r="D30" s="3" t="s">
        <v>66</v>
      </c>
      <c r="E30" s="5" t="s">
        <v>67</v>
      </c>
      <c r="F30" s="6" t="s">
        <v>69</v>
      </c>
      <c r="G30" s="7" t="s">
        <v>14</v>
      </c>
      <c r="H30" s="3"/>
      <c r="I30" s="3"/>
    </row>
    <row r="31" customFormat="false" ht="15" hidden="false" customHeight="false" outlineLevel="0" collapsed="false">
      <c r="A31" s="3" t="n">
        <v>30</v>
      </c>
      <c r="B31" s="13" t="s">
        <v>70</v>
      </c>
      <c r="C31" s="5" t="s">
        <v>71</v>
      </c>
      <c r="D31" s="5" t="s">
        <v>72</v>
      </c>
      <c r="E31" s="5" t="s">
        <v>72</v>
      </c>
      <c r="F31" s="6" t="s">
        <v>73</v>
      </c>
      <c r="G31" s="7" t="s">
        <v>14</v>
      </c>
      <c r="H31" s="3"/>
      <c r="I31" s="3"/>
    </row>
    <row r="32" customFormat="false" ht="15" hidden="false" customHeight="false" outlineLevel="0" collapsed="false">
      <c r="A32" s="3" t="n">
        <v>31</v>
      </c>
      <c r="B32" s="13" t="s">
        <v>70</v>
      </c>
      <c r="C32" s="5" t="s">
        <v>71</v>
      </c>
      <c r="D32" s="5" t="s">
        <v>72</v>
      </c>
      <c r="E32" s="5" t="s">
        <v>72</v>
      </c>
      <c r="F32" s="6" t="s">
        <v>74</v>
      </c>
      <c r="G32" s="7" t="s">
        <v>14</v>
      </c>
      <c r="H32" s="3"/>
      <c r="I32" s="3"/>
    </row>
    <row r="33" customFormat="false" ht="23.85" hidden="false" customHeight="false" outlineLevel="0" collapsed="false">
      <c r="A33" s="3" t="n">
        <v>32</v>
      </c>
      <c r="B33" s="14" t="s">
        <v>75</v>
      </c>
      <c r="C33" s="5" t="s">
        <v>76</v>
      </c>
      <c r="D33" s="3" t="s">
        <v>77</v>
      </c>
      <c r="E33" s="5" t="s">
        <v>21</v>
      </c>
      <c r="F33" s="6" t="s">
        <v>78</v>
      </c>
      <c r="G33" s="9" t="s">
        <v>18</v>
      </c>
      <c r="H33" s="3"/>
      <c r="I33" s="3"/>
    </row>
    <row r="34" customFormat="false" ht="23.85" hidden="false" customHeight="false" outlineLevel="0" collapsed="false">
      <c r="A34" s="3" t="n">
        <v>33</v>
      </c>
      <c r="B34" s="14" t="s">
        <v>75</v>
      </c>
      <c r="C34" s="5" t="s">
        <v>76</v>
      </c>
      <c r="D34" s="3" t="s">
        <v>77</v>
      </c>
      <c r="E34" s="5" t="s">
        <v>21</v>
      </c>
      <c r="F34" s="6" t="s">
        <v>79</v>
      </c>
      <c r="G34" s="9" t="s">
        <v>18</v>
      </c>
      <c r="H34" s="3"/>
      <c r="I34" s="3"/>
    </row>
    <row r="35" customFormat="false" ht="23.85" hidden="false" customHeight="false" outlineLevel="0" collapsed="false">
      <c r="A35" s="3" t="n">
        <v>34</v>
      </c>
      <c r="B35" s="14" t="s">
        <v>75</v>
      </c>
      <c r="C35" s="5" t="s">
        <v>76</v>
      </c>
      <c r="D35" s="3" t="s">
        <v>77</v>
      </c>
      <c r="E35" s="5" t="s">
        <v>21</v>
      </c>
      <c r="F35" s="6" t="s">
        <v>80</v>
      </c>
      <c r="G35" s="7" t="s">
        <v>14</v>
      </c>
      <c r="H35" s="3"/>
      <c r="I35" s="3"/>
    </row>
    <row r="36" customFormat="false" ht="15" hidden="false" customHeight="false" outlineLevel="0" collapsed="false">
      <c r="A36" s="3" t="n">
        <v>35</v>
      </c>
      <c r="B36" s="14" t="s">
        <v>75</v>
      </c>
      <c r="C36" s="5" t="s">
        <v>81</v>
      </c>
      <c r="D36" s="3" t="s">
        <v>82</v>
      </c>
      <c r="E36" s="5" t="s">
        <v>21</v>
      </c>
      <c r="F36" s="6" t="s">
        <v>83</v>
      </c>
      <c r="G36" s="9" t="s">
        <v>18</v>
      </c>
      <c r="H36" s="3"/>
      <c r="I36" s="3"/>
    </row>
    <row r="37" customFormat="false" ht="15" hidden="false" customHeight="false" outlineLevel="0" collapsed="false">
      <c r="A37" s="3" t="n">
        <v>36</v>
      </c>
      <c r="B37" s="14" t="s">
        <v>75</v>
      </c>
      <c r="C37" s="5" t="s">
        <v>81</v>
      </c>
      <c r="D37" s="3" t="s">
        <v>82</v>
      </c>
      <c r="E37" s="5" t="s">
        <v>21</v>
      </c>
      <c r="F37" s="6" t="s">
        <v>84</v>
      </c>
      <c r="G37" s="7" t="s">
        <v>14</v>
      </c>
      <c r="H37" s="3"/>
      <c r="I37" s="3"/>
    </row>
    <row r="38" customFormat="false" ht="15" hidden="false" customHeight="false" outlineLevel="0" collapsed="false">
      <c r="A38" s="3" t="n">
        <v>37</v>
      </c>
      <c r="B38" s="14" t="s">
        <v>75</v>
      </c>
      <c r="C38" s="5" t="s">
        <v>85</v>
      </c>
      <c r="D38" s="3" t="s">
        <v>86</v>
      </c>
      <c r="E38" s="3" t="s">
        <v>87</v>
      </c>
      <c r="F38" s="6" t="s">
        <v>88</v>
      </c>
      <c r="G38" s="9" t="s">
        <v>18</v>
      </c>
      <c r="H38" s="3"/>
      <c r="I38" s="3"/>
    </row>
    <row r="39" customFormat="false" ht="15" hidden="false" customHeight="false" outlineLevel="0" collapsed="false">
      <c r="A39" s="3" t="n">
        <v>38</v>
      </c>
      <c r="B39" s="14" t="s">
        <v>75</v>
      </c>
      <c r="C39" s="5" t="s">
        <v>85</v>
      </c>
      <c r="D39" s="3" t="s">
        <v>86</v>
      </c>
      <c r="E39" s="3" t="s">
        <v>87</v>
      </c>
      <c r="F39" s="6" t="s">
        <v>89</v>
      </c>
      <c r="G39" s="9" t="s">
        <v>18</v>
      </c>
      <c r="H39" s="3"/>
      <c r="I39" s="3"/>
    </row>
    <row r="40" customFormat="false" ht="15" hidden="false" customHeight="false" outlineLevel="0" collapsed="false">
      <c r="A40" s="3" t="n">
        <v>39</v>
      </c>
      <c r="B40" s="14" t="s">
        <v>75</v>
      </c>
      <c r="C40" s="5" t="s">
        <v>85</v>
      </c>
      <c r="D40" s="3" t="s">
        <v>86</v>
      </c>
      <c r="E40" s="3" t="s">
        <v>87</v>
      </c>
      <c r="F40" s="6" t="s">
        <v>90</v>
      </c>
      <c r="G40" s="9" t="s">
        <v>18</v>
      </c>
      <c r="H40" s="3"/>
      <c r="I40" s="3"/>
    </row>
    <row r="41" customFormat="false" ht="15" hidden="false" customHeight="false" outlineLevel="0" collapsed="false">
      <c r="A41" s="3" t="n">
        <v>40</v>
      </c>
      <c r="B41" s="14" t="s">
        <v>75</v>
      </c>
      <c r="C41" s="5" t="s">
        <v>85</v>
      </c>
      <c r="D41" s="3" t="s">
        <v>86</v>
      </c>
      <c r="E41" s="3" t="s">
        <v>87</v>
      </c>
      <c r="F41" s="6" t="s">
        <v>91</v>
      </c>
      <c r="G41" s="9" t="s">
        <v>18</v>
      </c>
      <c r="H41" s="3"/>
      <c r="I41" s="3"/>
    </row>
    <row r="42" customFormat="false" ht="15" hidden="false" customHeight="false" outlineLevel="0" collapsed="false">
      <c r="A42" s="3" t="n">
        <v>41</v>
      </c>
      <c r="B42" s="14" t="s">
        <v>75</v>
      </c>
      <c r="C42" s="5" t="s">
        <v>92</v>
      </c>
      <c r="D42" s="3" t="s">
        <v>93</v>
      </c>
      <c r="E42" s="3" t="s">
        <v>87</v>
      </c>
      <c r="F42" s="6" t="s">
        <v>94</v>
      </c>
      <c r="G42" s="9" t="s">
        <v>18</v>
      </c>
      <c r="H42" s="3"/>
      <c r="I42" s="3"/>
    </row>
    <row r="43" customFormat="false" ht="15" hidden="false" customHeight="false" outlineLevel="0" collapsed="false">
      <c r="A43" s="3" t="n">
        <v>42</v>
      </c>
      <c r="B43" s="14" t="s">
        <v>75</v>
      </c>
      <c r="C43" s="5" t="s">
        <v>95</v>
      </c>
      <c r="D43" s="3" t="s">
        <v>96</v>
      </c>
      <c r="E43" s="5" t="s">
        <v>40</v>
      </c>
      <c r="F43" s="6" t="s">
        <v>97</v>
      </c>
      <c r="G43" s="9" t="s">
        <v>18</v>
      </c>
      <c r="H43" s="3"/>
      <c r="I43" s="3"/>
    </row>
    <row r="44" customFormat="false" ht="15" hidden="false" customHeight="false" outlineLevel="0" collapsed="false">
      <c r="A44" s="3" t="n">
        <v>43</v>
      </c>
      <c r="B44" s="14" t="s">
        <v>75</v>
      </c>
      <c r="C44" s="5" t="s">
        <v>95</v>
      </c>
      <c r="D44" s="3" t="s">
        <v>96</v>
      </c>
      <c r="E44" s="5" t="s">
        <v>40</v>
      </c>
      <c r="F44" s="6" t="s">
        <v>98</v>
      </c>
      <c r="G44" s="9" t="s">
        <v>18</v>
      </c>
      <c r="H44" s="3"/>
      <c r="I44" s="3"/>
    </row>
    <row r="45" customFormat="false" ht="15" hidden="false" customHeight="false" outlineLevel="0" collapsed="false">
      <c r="A45" s="3" t="n">
        <v>44</v>
      </c>
      <c r="B45" s="14" t="s">
        <v>75</v>
      </c>
      <c r="C45" s="5" t="s">
        <v>99</v>
      </c>
      <c r="D45" s="3" t="s">
        <v>100</v>
      </c>
      <c r="E45" s="5" t="s">
        <v>40</v>
      </c>
      <c r="F45" s="6" t="s">
        <v>101</v>
      </c>
      <c r="G45" s="9" t="s">
        <v>18</v>
      </c>
      <c r="H45" s="3"/>
      <c r="I45" s="3"/>
    </row>
    <row r="46" customFormat="false" ht="15" hidden="false" customHeight="false" outlineLevel="0" collapsed="false">
      <c r="A46" s="3" t="n">
        <v>45</v>
      </c>
      <c r="B46" s="14" t="s">
        <v>75</v>
      </c>
      <c r="C46" s="5" t="s">
        <v>102</v>
      </c>
      <c r="D46" s="3" t="s">
        <v>103</v>
      </c>
      <c r="E46" s="5" t="s">
        <v>45</v>
      </c>
      <c r="F46" s="6" t="s">
        <v>104</v>
      </c>
      <c r="G46" s="9" t="s">
        <v>18</v>
      </c>
      <c r="H46" s="3"/>
      <c r="I46" s="3"/>
    </row>
    <row r="47" customFormat="false" ht="15" hidden="false" customHeight="false" outlineLevel="0" collapsed="false">
      <c r="A47" s="3" t="n">
        <v>46</v>
      </c>
      <c r="B47" s="14" t="s">
        <v>75</v>
      </c>
      <c r="C47" s="5" t="s">
        <v>105</v>
      </c>
      <c r="D47" s="3" t="s">
        <v>106</v>
      </c>
      <c r="E47" s="5" t="s">
        <v>45</v>
      </c>
      <c r="F47" s="6" t="s">
        <v>107</v>
      </c>
      <c r="G47" s="12" t="s">
        <v>25</v>
      </c>
      <c r="H47" s="3"/>
      <c r="I47" s="3"/>
    </row>
    <row r="48" customFormat="false" ht="15" hidden="false" customHeight="false" outlineLevel="0" collapsed="false">
      <c r="A48" s="3" t="n">
        <v>47</v>
      </c>
      <c r="B48" s="14" t="s">
        <v>75</v>
      </c>
      <c r="C48" s="5" t="s">
        <v>108</v>
      </c>
      <c r="D48" s="3" t="s">
        <v>109</v>
      </c>
      <c r="E48" s="5" t="s">
        <v>45</v>
      </c>
      <c r="F48" s="6" t="s">
        <v>110</v>
      </c>
      <c r="G48" s="9" t="s">
        <v>18</v>
      </c>
      <c r="H48" s="3"/>
      <c r="I48" s="3"/>
    </row>
    <row r="49" customFormat="false" ht="15" hidden="false" customHeight="false" outlineLevel="0" collapsed="false">
      <c r="A49" s="3" t="n">
        <v>48</v>
      </c>
      <c r="B49" s="14" t="s">
        <v>75</v>
      </c>
      <c r="C49" s="5" t="s">
        <v>108</v>
      </c>
      <c r="D49" s="3" t="s">
        <v>109</v>
      </c>
      <c r="E49" s="5" t="s">
        <v>45</v>
      </c>
      <c r="F49" s="6" t="s">
        <v>111</v>
      </c>
      <c r="G49" s="7" t="s">
        <v>14</v>
      </c>
      <c r="H49" s="3"/>
      <c r="I49" s="3"/>
    </row>
    <row r="50" customFormat="false" ht="15" hidden="false" customHeight="false" outlineLevel="0" collapsed="false">
      <c r="A50" s="3" t="n">
        <v>49</v>
      </c>
      <c r="B50" s="14" t="s">
        <v>75</v>
      </c>
      <c r="C50" s="5" t="s">
        <v>108</v>
      </c>
      <c r="D50" s="3" t="s">
        <v>109</v>
      </c>
      <c r="E50" s="5" t="s">
        <v>45</v>
      </c>
      <c r="F50" s="6" t="s">
        <v>112</v>
      </c>
      <c r="G50" s="7" t="s">
        <v>14</v>
      </c>
      <c r="H50" s="3"/>
      <c r="I50" s="3"/>
    </row>
    <row r="51" customFormat="false" ht="15" hidden="false" customHeight="false" outlineLevel="0" collapsed="false">
      <c r="A51" s="3" t="n">
        <v>50</v>
      </c>
      <c r="B51" s="14" t="s">
        <v>75</v>
      </c>
      <c r="C51" s="5" t="s">
        <v>113</v>
      </c>
      <c r="D51" s="3" t="s">
        <v>114</v>
      </c>
      <c r="E51" s="5" t="s">
        <v>45</v>
      </c>
      <c r="F51" s="6" t="s">
        <v>115</v>
      </c>
      <c r="G51" s="9" t="s">
        <v>18</v>
      </c>
      <c r="H51" s="3"/>
      <c r="I51" s="3"/>
    </row>
    <row r="52" customFormat="false" ht="15" hidden="false" customHeight="false" outlineLevel="0" collapsed="false">
      <c r="A52" s="3" t="n">
        <v>51</v>
      </c>
      <c r="B52" s="14" t="s">
        <v>75</v>
      </c>
      <c r="C52" s="5" t="s">
        <v>113</v>
      </c>
      <c r="D52" s="3" t="s">
        <v>114</v>
      </c>
      <c r="E52" s="5" t="s">
        <v>45</v>
      </c>
      <c r="F52" s="6" t="s">
        <v>116</v>
      </c>
      <c r="G52" s="12" t="s">
        <v>25</v>
      </c>
      <c r="H52" s="3"/>
      <c r="I52" s="3"/>
    </row>
    <row r="53" customFormat="false" ht="15" hidden="false" customHeight="false" outlineLevel="0" collapsed="false">
      <c r="A53" s="3" t="n">
        <v>52</v>
      </c>
      <c r="B53" s="14" t="s">
        <v>75</v>
      </c>
      <c r="C53" s="5" t="s">
        <v>117</v>
      </c>
      <c r="D53" s="3" t="s">
        <v>118</v>
      </c>
      <c r="E53" s="5" t="s">
        <v>21</v>
      </c>
      <c r="F53" s="6" t="s">
        <v>119</v>
      </c>
      <c r="G53" s="7" t="s">
        <v>14</v>
      </c>
      <c r="H53" s="3"/>
      <c r="I53" s="3"/>
    </row>
    <row r="54" customFormat="false" ht="15" hidden="false" customHeight="false" outlineLevel="0" collapsed="false">
      <c r="A54" s="3" t="n">
        <v>53</v>
      </c>
      <c r="B54" s="14" t="s">
        <v>75</v>
      </c>
      <c r="C54" s="5" t="s">
        <v>117</v>
      </c>
      <c r="D54" s="3" t="s">
        <v>118</v>
      </c>
      <c r="E54" s="5" t="s">
        <v>21</v>
      </c>
      <c r="F54" s="6" t="s">
        <v>120</v>
      </c>
      <c r="G54" s="7" t="s">
        <v>14</v>
      </c>
      <c r="H54" s="3"/>
      <c r="I54" s="3"/>
    </row>
    <row r="55" customFormat="false" ht="15" hidden="false" customHeight="false" outlineLevel="0" collapsed="false">
      <c r="A55" s="3" t="n">
        <v>54</v>
      </c>
      <c r="B55" s="14" t="s">
        <v>75</v>
      </c>
      <c r="C55" s="5" t="s">
        <v>117</v>
      </c>
      <c r="D55" s="3" t="s">
        <v>118</v>
      </c>
      <c r="E55" s="5" t="s">
        <v>21</v>
      </c>
      <c r="F55" s="6" t="s">
        <v>121</v>
      </c>
      <c r="G55" s="7" t="s">
        <v>14</v>
      </c>
      <c r="H55" s="3"/>
      <c r="I55" s="3"/>
    </row>
    <row r="56" customFormat="false" ht="15" hidden="false" customHeight="false" outlineLevel="0" collapsed="false">
      <c r="A56" s="3" t="n">
        <v>55</v>
      </c>
      <c r="B56" s="14" t="s">
        <v>75</v>
      </c>
      <c r="C56" s="5" t="s">
        <v>122</v>
      </c>
      <c r="D56" s="3" t="s">
        <v>123</v>
      </c>
      <c r="E56" s="5" t="s">
        <v>21</v>
      </c>
      <c r="F56" s="6" t="s">
        <v>124</v>
      </c>
      <c r="G56" s="7" t="s">
        <v>14</v>
      </c>
      <c r="H56" s="3"/>
      <c r="I56" s="3"/>
    </row>
    <row r="57" customFormat="false" ht="15" hidden="false" customHeight="false" outlineLevel="0" collapsed="false">
      <c r="A57" s="3" t="n">
        <v>56</v>
      </c>
      <c r="B57" s="14" t="s">
        <v>75</v>
      </c>
      <c r="C57" s="5" t="s">
        <v>122</v>
      </c>
      <c r="D57" s="3" t="s">
        <v>123</v>
      </c>
      <c r="E57" s="5" t="s">
        <v>21</v>
      </c>
      <c r="F57" s="6" t="s">
        <v>125</v>
      </c>
      <c r="G57" s="7" t="s">
        <v>14</v>
      </c>
      <c r="H57" s="3"/>
      <c r="I57" s="3"/>
    </row>
    <row r="58" customFormat="false" ht="15" hidden="false" customHeight="false" outlineLevel="0" collapsed="false">
      <c r="A58" s="3" t="n">
        <v>57</v>
      </c>
      <c r="B58" s="14" t="s">
        <v>75</v>
      </c>
      <c r="C58" s="5" t="s">
        <v>122</v>
      </c>
      <c r="D58" s="3" t="s">
        <v>123</v>
      </c>
      <c r="E58" s="5" t="s">
        <v>21</v>
      </c>
      <c r="F58" s="6" t="s">
        <v>126</v>
      </c>
      <c r="G58" s="7" t="s">
        <v>14</v>
      </c>
      <c r="H58" s="3"/>
      <c r="I58" s="3"/>
    </row>
    <row r="59" customFormat="false" ht="15" hidden="false" customHeight="false" outlineLevel="0" collapsed="false">
      <c r="A59" s="3" t="n">
        <v>58</v>
      </c>
      <c r="B59" s="14" t="s">
        <v>75</v>
      </c>
      <c r="C59" s="5" t="s">
        <v>127</v>
      </c>
      <c r="D59" s="3" t="s">
        <v>128</v>
      </c>
      <c r="E59" s="3" t="s">
        <v>87</v>
      </c>
      <c r="F59" s="6" t="s">
        <v>129</v>
      </c>
      <c r="G59" s="7" t="s">
        <v>14</v>
      </c>
      <c r="H59" s="3"/>
      <c r="I59" s="3"/>
    </row>
    <row r="60" customFormat="false" ht="15" hidden="false" customHeight="false" outlineLevel="0" collapsed="false">
      <c r="A60" s="3" t="n">
        <v>59</v>
      </c>
      <c r="B60" s="14" t="s">
        <v>75</v>
      </c>
      <c r="C60" s="5" t="s">
        <v>127</v>
      </c>
      <c r="D60" s="3" t="s">
        <v>128</v>
      </c>
      <c r="E60" s="3" t="s">
        <v>87</v>
      </c>
      <c r="F60" s="6" t="s">
        <v>130</v>
      </c>
      <c r="G60" s="7" t="s">
        <v>14</v>
      </c>
      <c r="H60" s="3"/>
      <c r="I60" s="3"/>
    </row>
    <row r="61" customFormat="false" ht="15" hidden="false" customHeight="false" outlineLevel="0" collapsed="false">
      <c r="A61" s="3" t="n">
        <v>60</v>
      </c>
      <c r="B61" s="14" t="s">
        <v>75</v>
      </c>
      <c r="C61" s="5" t="s">
        <v>131</v>
      </c>
      <c r="D61" s="3" t="s">
        <v>132</v>
      </c>
      <c r="E61" s="5" t="s">
        <v>45</v>
      </c>
      <c r="F61" s="8" t="s">
        <v>133</v>
      </c>
      <c r="G61" s="7" t="s">
        <v>14</v>
      </c>
      <c r="H61" s="3"/>
      <c r="I61" s="3"/>
    </row>
    <row r="62" customFormat="false" ht="15" hidden="false" customHeight="false" outlineLevel="0" collapsed="false">
      <c r="A62" s="3" t="n">
        <v>61</v>
      </c>
      <c r="B62" s="14" t="s">
        <v>75</v>
      </c>
      <c r="C62" s="5" t="s">
        <v>131</v>
      </c>
      <c r="D62" s="3" t="s">
        <v>132</v>
      </c>
      <c r="E62" s="5" t="s">
        <v>45</v>
      </c>
      <c r="F62" s="6" t="s">
        <v>134</v>
      </c>
      <c r="G62" s="9" t="s">
        <v>18</v>
      </c>
      <c r="H62" s="3"/>
      <c r="I62" s="3"/>
    </row>
    <row r="63" customFormat="false" ht="15" hidden="false" customHeight="false" outlineLevel="0" collapsed="false">
      <c r="A63" s="3" t="n">
        <v>62</v>
      </c>
      <c r="B63" s="14" t="s">
        <v>75</v>
      </c>
      <c r="C63" s="5" t="s">
        <v>131</v>
      </c>
      <c r="D63" s="3" t="s">
        <v>132</v>
      </c>
      <c r="E63" s="5" t="s">
        <v>45</v>
      </c>
      <c r="F63" s="6" t="s">
        <v>135</v>
      </c>
      <c r="G63" s="9" t="s">
        <v>18</v>
      </c>
      <c r="H63" s="3"/>
      <c r="I63" s="3"/>
    </row>
    <row r="64" customFormat="false" ht="15" hidden="false" customHeight="false" outlineLevel="0" collapsed="false">
      <c r="A64" s="3" t="n">
        <v>63</v>
      </c>
      <c r="B64" s="14" t="s">
        <v>75</v>
      </c>
      <c r="C64" s="5" t="s">
        <v>136</v>
      </c>
      <c r="D64" s="3" t="s">
        <v>137</v>
      </c>
      <c r="E64" s="5" t="s">
        <v>45</v>
      </c>
      <c r="F64" s="6" t="s">
        <v>138</v>
      </c>
      <c r="G64" s="9" t="s">
        <v>18</v>
      </c>
      <c r="H64" s="3"/>
      <c r="I64" s="3"/>
    </row>
  </sheetData>
  <autoFilter ref="A1:I64"/>
  <dataValidations count="1">
    <dataValidation allowBlank="true" errorStyle="stop" operator="between" showDropDown="false" showErrorMessage="false" showInputMessage="false" sqref="H2:H64" type="list">
      <formula1>"미착수,진행중,완료,보류"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8"/>
  </cols>
  <sheetData>
    <row r="1" customFormat="false" ht="16.4" hidden="false" customHeight="false" outlineLevel="0" collapsed="false">
      <c r="A1" s="15" t="s">
        <v>139</v>
      </c>
    </row>
    <row r="3" customFormat="false" ht="15" hidden="false" customHeight="false" outlineLevel="0" collapsed="false">
      <c r="A3" s="2" t="s">
        <v>4</v>
      </c>
      <c r="B3" s="2" t="s">
        <v>14</v>
      </c>
      <c r="C3" s="2" t="s">
        <v>18</v>
      </c>
      <c r="D3" s="2" t="s">
        <v>25</v>
      </c>
      <c r="E3" s="2" t="s">
        <v>23</v>
      </c>
      <c r="F3" s="2" t="s">
        <v>140</v>
      </c>
    </row>
    <row r="4" customFormat="false" ht="15" hidden="false" customHeight="false" outlineLevel="0" collapsed="false">
      <c r="A4" s="5" t="s">
        <v>21</v>
      </c>
      <c r="B4" s="3" t="n">
        <f aca="false">COUNTIFS('화면 점검 체크리스트'!$E$2:$E$64,"*"&amp;A4&amp;"*",'화면 점검 체크리스트'!$G$2:$G$64,"필수")</f>
        <v>14</v>
      </c>
      <c r="C4" s="3" t="n">
        <f aca="false">COUNTIFS('화면 점검 체크리스트'!$E$2:$E$64,"*"&amp;A4&amp;"*",'화면 점검 체크리스트'!$G$2:$G$64,"개선")</f>
        <v>10</v>
      </c>
      <c r="D4" s="3" t="n">
        <f aca="false">COUNTIFS('화면 점검 체크리스트'!$E$2:$E$64,"*"&amp;A4&amp;"*",'화면 점검 체크리스트'!$G$2:$G$64,"고도화")</f>
        <v>2</v>
      </c>
      <c r="E4" s="3" t="n">
        <f aca="false">COUNTIFS('화면 점검 체크리스트'!$E$2:$E$64,"*"&amp;A4&amp;"*",'화면 점검 체크리스트'!$G$2:$G$64,"완료")</f>
        <v>2</v>
      </c>
      <c r="F4" s="3" t="n">
        <f aca="false">SUM(B4:E4)</f>
        <v>28</v>
      </c>
    </row>
    <row r="5" customFormat="false" ht="15" hidden="false" customHeight="false" outlineLevel="0" collapsed="false">
      <c r="A5" s="5" t="s">
        <v>45</v>
      </c>
      <c r="B5" s="3" t="n">
        <f aca="false">COUNTIFS('화면 점검 체크리스트'!$E$2:$E$64,"*"&amp;A5&amp;"*",'화면 점검 체크리스트'!$G$2:$G$64,"필수")</f>
        <v>7</v>
      </c>
      <c r="C5" s="3" t="n">
        <f aca="false">COUNTIFS('화면 점검 체크리스트'!$E$2:$E$64,"*"&amp;A5&amp;"*",'화면 점검 체크리스트'!$G$2:$G$64,"개선")</f>
        <v>8</v>
      </c>
      <c r="D5" s="3" t="n">
        <f aca="false">COUNTIFS('화면 점검 체크리스트'!$E$2:$E$64,"*"&amp;A5&amp;"*",'화면 점검 체크리스트'!$G$2:$G$64,"고도화")</f>
        <v>2</v>
      </c>
      <c r="E5" s="3" t="n">
        <f aca="false">COUNTIFS('화면 점검 체크리스트'!$E$2:$E$64,"*"&amp;A5&amp;"*",'화면 점검 체크리스트'!$G$2:$G$64,"완료")</f>
        <v>2</v>
      </c>
      <c r="F5" s="3" t="n">
        <f aca="false">SUM(B5:E5)</f>
        <v>19</v>
      </c>
    </row>
    <row r="6" customFormat="false" ht="15" hidden="false" customHeight="false" outlineLevel="0" collapsed="false">
      <c r="A6" s="5" t="s">
        <v>40</v>
      </c>
      <c r="B6" s="3" t="n">
        <f aca="false">COUNTIFS('화면 점검 체크리스트'!$E$2:$E$64,"*"&amp;A6&amp;"*",'화면 점검 체크리스트'!$G$2:$G$64,"필수")</f>
        <v>4</v>
      </c>
      <c r="C6" s="3" t="n">
        <f aca="false">COUNTIFS('화면 점검 체크리스트'!$E$2:$E$64,"*"&amp;A6&amp;"*",'화면 점검 체크리스트'!$G$2:$G$64,"개선")</f>
        <v>5</v>
      </c>
      <c r="D6" s="3" t="n">
        <f aca="false">COUNTIFS('화면 점검 체크리스트'!$E$2:$E$64,"*"&amp;A6&amp;"*",'화면 점검 체크리스트'!$G$2:$G$64,"고도화")</f>
        <v>0</v>
      </c>
      <c r="E6" s="3" t="n">
        <f aca="false">COUNTIFS('화면 점검 체크리스트'!$E$2:$E$64,"*"&amp;A6&amp;"*",'화면 점검 체크리스트'!$G$2:$G$64,"완료")</f>
        <v>0</v>
      </c>
      <c r="F6" s="3" t="n">
        <f aca="false">SUM(B6:E6)</f>
        <v>9</v>
      </c>
    </row>
    <row r="7" customFormat="false" ht="15" hidden="false" customHeight="false" outlineLevel="0" collapsed="false">
      <c r="A7" s="3" t="s">
        <v>87</v>
      </c>
      <c r="B7" s="3" t="n">
        <f aca="false">COUNTIFS('화면 점검 체크리스트'!$E$2:$E$64,"*"&amp;A7&amp;"*",'화면 점검 체크리스트'!$G$2:$G$64,"필수")</f>
        <v>2</v>
      </c>
      <c r="C7" s="3" t="n">
        <f aca="false">COUNTIFS('화면 점검 체크리스트'!$E$2:$E$64,"*"&amp;A7&amp;"*",'화면 점검 체크리스트'!$G$2:$G$64,"개선")</f>
        <v>5</v>
      </c>
      <c r="D7" s="3" t="n">
        <f aca="false">COUNTIFS('화면 점검 체크리스트'!$E$2:$E$64,"*"&amp;A7&amp;"*",'화면 점검 체크리스트'!$G$2:$G$64,"고도화")</f>
        <v>0</v>
      </c>
      <c r="E7" s="3" t="n">
        <f aca="false">COUNTIFS('화면 점검 체크리스트'!$E$2:$E$64,"*"&amp;A7&amp;"*",'화면 점검 체크리스트'!$G$2:$G$64,"완료")</f>
        <v>0</v>
      </c>
      <c r="F7" s="3" t="n">
        <f aca="false">SUM(B7:E7)</f>
        <v>7</v>
      </c>
    </row>
    <row r="8" customFormat="false" ht="15" hidden="false" customHeight="false" outlineLevel="0" collapsed="false">
      <c r="A8" s="16" t="s">
        <v>141</v>
      </c>
      <c r="B8" s="16" t="n">
        <f aca="false">SUM(B4:B7)</f>
        <v>27</v>
      </c>
      <c r="C8" s="16" t="n">
        <f aca="false">SUM(C4:C7)</f>
        <v>28</v>
      </c>
      <c r="D8" s="16" t="n">
        <f aca="false">SUM(D4:D7)</f>
        <v>4</v>
      </c>
      <c r="E8" s="16" t="n">
        <f aca="false">SUM(E4:E7)</f>
        <v>4</v>
      </c>
      <c r="F8" s="16" t="n">
        <f aca="false">SUM(F4:F7)</f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2026-06-05T08:53:40Z</dcterms:created>
  <dc:creator>openpyxl</dc:creator>
  <dc:description/>
  <dc:language>en-US</dc:language>
  <cp:lastModifiedBy/>
  <dcterms:modified xsi:type="dcterms:W3CDTF">2026-06-05T08:53:40Z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